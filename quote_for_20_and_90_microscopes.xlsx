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.maia\Documents\GitHub\malaria-detection\"/>
    </mc:Choice>
  </mc:AlternateContent>
  <xr:revisionPtr revIDLastSave="0" documentId="13_ncr:1_{5544021C-D1EA-4226-9D01-73777330779D}" xr6:coauthVersionLast="36" xr6:coauthVersionMax="36" xr10:uidLastSave="{00000000-0000-0000-0000-000000000000}"/>
  <bookViews>
    <workbookView xWindow="0" yWindow="0" windowWidth="21570" windowHeight="7290" xr2:uid="{DAF13A40-EE2D-4B8F-8FAE-F4FBC27C5E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O2" i="1" s="1"/>
  <c r="J2" i="1"/>
  <c r="K2" i="1" s="1"/>
  <c r="E2" i="1"/>
</calcChain>
</file>

<file path=xl/sharedStrings.xml><?xml version="1.0" encoding="utf-8"?>
<sst xmlns="http://schemas.openxmlformats.org/spreadsheetml/2006/main" count="51" uniqueCount="46">
  <si>
    <t>qty</t>
  </si>
  <si>
    <t>obs</t>
  </si>
  <si>
    <t>item</t>
  </si>
  <si>
    <t>Objective 100X oil</t>
  </si>
  <si>
    <t>OTG cable</t>
  </si>
  <si>
    <t>Camera</t>
  </si>
  <si>
    <t>Lens</t>
  </si>
  <si>
    <t>screws</t>
  </si>
  <si>
    <t>90X</t>
  </si>
  <si>
    <t>total cost</t>
  </si>
  <si>
    <t>links</t>
  </si>
  <si>
    <t>cost (includes shipping estimate to Nigeria)</t>
  </si>
  <si>
    <t>sliding table</t>
  </si>
  <si>
    <t>https://www.aliexpress.com/item/32637177731.html</t>
  </si>
  <si>
    <t>https://www.aliexpress.com/item/1005008157881482.html</t>
  </si>
  <si>
    <t>https://www.aliexpress.com/item/1005003214487240.html</t>
  </si>
  <si>
    <t>torch</t>
  </si>
  <si>
    <t>https://aliexpress.com/item/1005006344009961.html</t>
  </si>
  <si>
    <t>https://www.aliexpress.com/item/1005008613864647.html</t>
  </si>
  <si>
    <t>m3-m5 variant each kit should make 5 microscopes</t>
  </si>
  <si>
    <t>each spool should make 5 microscopes</t>
  </si>
  <si>
    <t>https://www.aliexpress.com/item/1005007273134914.html</t>
  </si>
  <si>
    <t>https://www.jumia.com.ng/flashforge-pla-3d-printing-filament-high-quality-black-1.75mm-1kg-fdm-3d-printing-material-418826756.html</t>
  </si>
  <si>
    <t>cost/unit</t>
  </si>
  <si>
    <t>20units</t>
  </si>
  <si>
    <t>https://www.aliexpress.com/item/1005005038133716.html</t>
  </si>
  <si>
    <t>PLA Filament for microscope</t>
  </si>
  <si>
    <t>pla filament for smear maker</t>
  </si>
  <si>
    <t>each spool should make 9 smear makers</t>
  </si>
  <si>
    <t>bushing</t>
  </si>
  <si>
    <t>metal rod</t>
  </si>
  <si>
    <t>https://www.aliexpress.com/item/1005004320890614.html</t>
  </si>
  <si>
    <t>m6x8x15 variant</t>
  </si>
  <si>
    <t>magnet</t>
  </si>
  <si>
    <t>6mmX100mm variant</t>
  </si>
  <si>
    <t>https://www.aliexpress.com/item/1005005184865336.html</t>
  </si>
  <si>
    <t>10x3x3mm variant each order makes 5 microscopes</t>
  </si>
  <si>
    <t>https://www.aliexpress.com/item/1005009819553258.html</t>
  </si>
  <si>
    <t>nuts</t>
  </si>
  <si>
    <t>m3 variant</t>
  </si>
  <si>
    <t>m3x10mm variant</t>
  </si>
  <si>
    <t>https://www.aliexpress.com/item/1005007249068859.html</t>
  </si>
  <si>
    <t>https://www.aliexpress.com/item/1005007593861199.html</t>
  </si>
  <si>
    <t>all prices in USD</t>
  </si>
  <si>
    <t>100X oil variant</t>
  </si>
  <si>
    <t>variant with included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</si>
</sst>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iexpress.com/item/10050063440099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824B-4180-4B3C-8544-45D592BB2552}">
  <dimension ref="A1:P16"/>
  <sheetViews>
    <sheetView tabSelected="1" workbookViewId="0">
      <selection activeCell="E9" sqref="E9"/>
    </sheetView>
  </sheetViews>
  <sheetFormatPr defaultRowHeight="15" x14ac:dyDescent="0.25"/>
  <cols>
    <col min="2" max="2" width="27.140625" bestFit="1" customWidth="1"/>
    <col min="6" max="6" width="53.5703125" customWidth="1"/>
    <col min="10" max="10" width="13.85546875" customWidth="1"/>
    <col min="11" max="11" width="13.7109375" customWidth="1"/>
  </cols>
  <sheetData>
    <row r="1" spans="1:16" x14ac:dyDescent="0.25">
      <c r="B1" t="s">
        <v>2</v>
      </c>
      <c r="C1" t="s">
        <v>0</v>
      </c>
      <c r="D1" t="s">
        <v>11</v>
      </c>
      <c r="E1" t="s">
        <v>9</v>
      </c>
      <c r="F1" t="s">
        <v>10</v>
      </c>
      <c r="G1" t="s">
        <v>1</v>
      </c>
      <c r="I1" t="s">
        <v>24</v>
      </c>
      <c r="J1" t="s">
        <v>9</v>
      </c>
      <c r="K1" t="s">
        <v>23</v>
      </c>
      <c r="M1" t="s">
        <v>8</v>
      </c>
      <c r="N1" t="s">
        <v>9</v>
      </c>
      <c r="O1" t="s">
        <v>23</v>
      </c>
    </row>
    <row r="2" spans="1:16" x14ac:dyDescent="0.25">
      <c r="A2">
        <v>1</v>
      </c>
      <c r="B2" t="s">
        <v>3</v>
      </c>
      <c r="C2">
        <v>1</v>
      </c>
      <c r="D2">
        <v>32</v>
      </c>
      <c r="E2">
        <f>SUM(D:D)</f>
        <v>145.35</v>
      </c>
      <c r="F2" t="s">
        <v>15</v>
      </c>
      <c r="G2" t="s">
        <v>44</v>
      </c>
      <c r="I2">
        <v>420</v>
      </c>
      <c r="J2">
        <f>SUM(I:I)</f>
        <v>2423.39</v>
      </c>
      <c r="K2">
        <f>J2/20</f>
        <v>121.1695</v>
      </c>
      <c r="M2">
        <v>2072</v>
      </c>
      <c r="N2">
        <f>SUM(M:M)</f>
        <v>9378</v>
      </c>
      <c r="O2">
        <f>N2/90</f>
        <v>104.2</v>
      </c>
      <c r="P2" t="s">
        <v>43</v>
      </c>
    </row>
    <row r="3" spans="1:16" x14ac:dyDescent="0.25">
      <c r="A3">
        <v>3</v>
      </c>
      <c r="B3" t="s">
        <v>4</v>
      </c>
      <c r="C3">
        <v>1</v>
      </c>
      <c r="D3">
        <v>1.5</v>
      </c>
      <c r="F3" t="s">
        <v>25</v>
      </c>
      <c r="I3">
        <v>26</v>
      </c>
      <c r="M3">
        <v>117</v>
      </c>
    </row>
    <row r="4" spans="1:16" x14ac:dyDescent="0.25">
      <c r="A4">
        <v>4</v>
      </c>
      <c r="B4" t="s">
        <v>5</v>
      </c>
      <c r="C4">
        <v>1</v>
      </c>
      <c r="D4">
        <v>21</v>
      </c>
      <c r="F4" t="s">
        <v>18</v>
      </c>
      <c r="I4">
        <v>362</v>
      </c>
      <c r="M4">
        <v>1630</v>
      </c>
    </row>
    <row r="5" spans="1:16" x14ac:dyDescent="0.25">
      <c r="A5">
        <v>5</v>
      </c>
      <c r="B5" t="s">
        <v>6</v>
      </c>
      <c r="C5">
        <v>1</v>
      </c>
      <c r="D5">
        <v>14</v>
      </c>
      <c r="F5" t="s">
        <v>13</v>
      </c>
      <c r="I5">
        <v>202</v>
      </c>
      <c r="M5">
        <v>898</v>
      </c>
    </row>
    <row r="6" spans="1:16" x14ac:dyDescent="0.25">
      <c r="A6">
        <v>6</v>
      </c>
      <c r="B6" t="s">
        <v>26</v>
      </c>
      <c r="C6">
        <v>1</v>
      </c>
      <c r="D6">
        <v>6</v>
      </c>
      <c r="F6" t="s">
        <v>22</v>
      </c>
      <c r="G6" t="s">
        <v>20</v>
      </c>
      <c r="I6">
        <v>150</v>
      </c>
      <c r="M6">
        <v>540</v>
      </c>
    </row>
    <row r="7" spans="1:16" x14ac:dyDescent="0.25">
      <c r="A7">
        <v>7</v>
      </c>
      <c r="B7" t="s">
        <v>7</v>
      </c>
      <c r="C7">
        <v>1</v>
      </c>
      <c r="D7">
        <v>4</v>
      </c>
      <c r="F7" t="s">
        <v>21</v>
      </c>
      <c r="G7" t="s">
        <v>19</v>
      </c>
      <c r="I7">
        <v>80</v>
      </c>
      <c r="M7">
        <v>360</v>
      </c>
    </row>
    <row r="8" spans="1:16" x14ac:dyDescent="0.25">
      <c r="A8">
        <v>8</v>
      </c>
      <c r="B8" t="s">
        <v>12</v>
      </c>
      <c r="C8">
        <v>1</v>
      </c>
      <c r="D8">
        <v>20</v>
      </c>
      <c r="F8" t="s">
        <v>14</v>
      </c>
      <c r="I8">
        <v>450</v>
      </c>
      <c r="M8">
        <v>1800</v>
      </c>
    </row>
    <row r="9" spans="1:16" x14ac:dyDescent="0.25">
      <c r="A9">
        <v>9</v>
      </c>
      <c r="B9" t="s">
        <v>16</v>
      </c>
      <c r="C9">
        <v>1</v>
      </c>
      <c r="D9">
        <v>12</v>
      </c>
      <c r="F9" s="1" t="s">
        <v>17</v>
      </c>
      <c r="G9" t="s">
        <v>45</v>
      </c>
      <c r="I9">
        <v>240</v>
      </c>
      <c r="M9">
        <v>1080</v>
      </c>
    </row>
    <row r="11" spans="1:16" x14ac:dyDescent="0.25">
      <c r="A11">
        <v>10</v>
      </c>
      <c r="B11" t="s">
        <v>27</v>
      </c>
      <c r="C11">
        <v>1</v>
      </c>
      <c r="D11">
        <v>3</v>
      </c>
      <c r="F11" t="s">
        <v>22</v>
      </c>
      <c r="G11" t="s">
        <v>28</v>
      </c>
      <c r="I11">
        <v>60</v>
      </c>
      <c r="M11">
        <v>270</v>
      </c>
    </row>
    <row r="12" spans="1:16" x14ac:dyDescent="0.25">
      <c r="A12">
        <v>11</v>
      </c>
      <c r="B12" t="s">
        <v>29</v>
      </c>
      <c r="C12">
        <v>2</v>
      </c>
      <c r="D12">
        <v>14</v>
      </c>
      <c r="F12" t="s">
        <v>31</v>
      </c>
      <c r="G12" t="s">
        <v>32</v>
      </c>
      <c r="I12">
        <v>83</v>
      </c>
      <c r="M12">
        <v>350</v>
      </c>
    </row>
    <row r="13" spans="1:16" x14ac:dyDescent="0.25">
      <c r="A13">
        <v>12</v>
      </c>
      <c r="B13" t="s">
        <v>30</v>
      </c>
      <c r="C13">
        <v>1</v>
      </c>
      <c r="D13">
        <v>16</v>
      </c>
      <c r="F13" t="s">
        <v>35</v>
      </c>
      <c r="G13" t="s">
        <v>34</v>
      </c>
      <c r="I13">
        <v>320</v>
      </c>
      <c r="M13">
        <v>145</v>
      </c>
    </row>
    <row r="14" spans="1:16" x14ac:dyDescent="0.25">
      <c r="A14">
        <v>13</v>
      </c>
      <c r="B14" t="s">
        <v>33</v>
      </c>
      <c r="C14">
        <v>2</v>
      </c>
      <c r="D14">
        <v>1.5</v>
      </c>
      <c r="F14" t="s">
        <v>37</v>
      </c>
      <c r="G14" t="s">
        <v>36</v>
      </c>
      <c r="I14">
        <v>22</v>
      </c>
      <c r="M14">
        <v>78</v>
      </c>
    </row>
    <row r="15" spans="1:16" x14ac:dyDescent="0.25">
      <c r="A15">
        <v>14</v>
      </c>
      <c r="B15" t="s">
        <v>38</v>
      </c>
      <c r="C15">
        <v>1</v>
      </c>
      <c r="D15">
        <v>0.1</v>
      </c>
      <c r="F15" t="s">
        <v>42</v>
      </c>
      <c r="G15" t="s">
        <v>39</v>
      </c>
      <c r="I15">
        <v>4</v>
      </c>
      <c r="M15">
        <v>18</v>
      </c>
    </row>
    <row r="16" spans="1:16" x14ac:dyDescent="0.25">
      <c r="A16">
        <v>15</v>
      </c>
      <c r="B16" t="s">
        <v>7</v>
      </c>
      <c r="C16">
        <v>1</v>
      </c>
      <c r="D16">
        <v>0.25</v>
      </c>
      <c r="F16" t="s">
        <v>41</v>
      </c>
      <c r="G16" t="s">
        <v>40</v>
      </c>
      <c r="I16">
        <v>4.3899999999999997</v>
      </c>
      <c r="M16">
        <v>20</v>
      </c>
    </row>
  </sheetData>
  <hyperlinks>
    <hyperlink ref="F9" r:id="rId1" xr:uid="{E6FD1A64-1BA2-4A9C-A982-B0220E55EDB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MAIA CHAGAS</dc:creator>
  <cp:lastModifiedBy>ANDRE MAIA CHAGAS</cp:lastModifiedBy>
  <dcterms:created xsi:type="dcterms:W3CDTF">2025-12-02T13:08:47Z</dcterms:created>
  <dcterms:modified xsi:type="dcterms:W3CDTF">2025-12-02T14:50:51Z</dcterms:modified>
</cp:coreProperties>
</file>